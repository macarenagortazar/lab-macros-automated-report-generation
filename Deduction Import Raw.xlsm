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EF0A3169-33C6-E2D0-F78B-2A1B1023552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arena/Documents/GitHub/Week 6/lab-macros-automated-report-generation/files_for_lab/"/>
    </mc:Choice>
  </mc:AlternateContent>
  <xr:revisionPtr revIDLastSave="0" documentId="8_{B125D027-6445-9A4B-870A-1BE939CB37CA}" xr6:coauthVersionLast="45" xr6:coauthVersionMax="45" xr10:uidLastSave="{00000000-0000-0000-0000-000000000000}"/>
  <bookViews>
    <workbookView xWindow="-38400" yWindow="-2000" windowWidth="38400" windowHeight="21600" activeTab="3" xr2:uid="{00000000-000D-0000-FFFF-FFFF00000000}"/>
  </bookViews>
  <sheets>
    <sheet name="Deduction Import Raw" sheetId="1" r:id="rId1"/>
    <sheet name="output" sheetId="6" r:id="rId2"/>
    <sheet name="Deduction Import Raw (2)" sheetId="7" r:id="rId3"/>
    <sheet name="Sheet with macro &quot;processed&quot;" sheetId="1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3" l="1"/>
  <c r="C2" i="13"/>
  <c r="D2" i="13"/>
  <c r="A3" i="13"/>
  <c r="C3" i="13"/>
  <c r="D3" i="13"/>
  <c r="A4" i="13"/>
  <c r="C4" i="13"/>
  <c r="D4" i="13"/>
  <c r="D1" i="13"/>
  <c r="C1" i="13"/>
  <c r="A1" i="13"/>
</calcChain>
</file>

<file path=xl/sharedStrings.xml><?xml version="1.0" encoding="utf-8"?>
<sst xmlns="http://schemas.openxmlformats.org/spreadsheetml/2006/main" count="236" uniqueCount="69">
  <si>
    <t>Social Security Number</t>
  </si>
  <si>
    <t>First Name</t>
  </si>
  <si>
    <t>Middle Name</t>
  </si>
  <si>
    <t>Last Name</t>
  </si>
  <si>
    <t>Suffix</t>
  </si>
  <si>
    <t>Preferred Name</t>
  </si>
  <si>
    <t>Display Name</t>
  </si>
  <si>
    <t>Full Name</t>
  </si>
  <si>
    <t>Gender</t>
  </si>
  <si>
    <t>DOB</t>
  </si>
  <si>
    <t>Age</t>
  </si>
  <si>
    <t>Marital Status</t>
  </si>
  <si>
    <t>Date of Marriage</t>
  </si>
  <si>
    <t>U.S. Citizen</t>
  </si>
  <si>
    <t>Visa Status</t>
  </si>
  <si>
    <t>Veteran Status</t>
  </si>
  <si>
    <t>Military Reserve Status</t>
  </si>
  <si>
    <t>EEOC</t>
  </si>
  <si>
    <t>Office</t>
  </si>
  <si>
    <t>Class</t>
  </si>
  <si>
    <t>Payroll Group</t>
  </si>
  <si>
    <t>Division</t>
  </si>
  <si>
    <t>Department</t>
  </si>
  <si>
    <t>Business Unit</t>
  </si>
  <si>
    <t>Benefit Work State</t>
  </si>
  <si>
    <t>Payroll Work State</t>
  </si>
  <si>
    <t>Cost Center</t>
  </si>
  <si>
    <t>Is Collectively Bargained</t>
  </si>
  <si>
    <t>Job Title</t>
  </si>
  <si>
    <t>Manager</t>
  </si>
  <si>
    <t>EEOC Category</t>
  </si>
  <si>
    <t>Demographic Change Effective Date</t>
  </si>
  <si>
    <t>Benefit</t>
  </si>
  <si>
    <t>Plan</t>
  </si>
  <si>
    <t>Enrollment Type</t>
  </si>
  <si>
    <t>Relationship</t>
  </si>
  <si>
    <t>EE Cost</t>
  </si>
  <si>
    <t>ER Cost</t>
  </si>
  <si>
    <t>Coverage Level</t>
  </si>
  <si>
    <t>Benefit Amount</t>
  </si>
  <si>
    <t>Employee Payroll Code</t>
  </si>
  <si>
    <t>Coverage Start Date</t>
  </si>
  <si>
    <t>Last Updated By</t>
  </si>
  <si>
    <t>Post Tax</t>
  </si>
  <si>
    <t>123-456-7890</t>
  </si>
  <si>
    <t>Erlich</t>
  </si>
  <si>
    <t>Bachman</t>
  </si>
  <si>
    <t>Bachman, Erlich</t>
  </si>
  <si>
    <t>Erlich Bachman</t>
  </si>
  <si>
    <t>M</t>
  </si>
  <si>
    <t>Officers</t>
  </si>
  <si>
    <t>Management Payroll</t>
  </si>
  <si>
    <t>California</t>
  </si>
  <si>
    <t>Majority Investor</t>
  </si>
  <si>
    <t>Garfield,Rick</t>
  </si>
  <si>
    <t>EAP</t>
  </si>
  <si>
    <t>Employee Assistance Program</t>
  </si>
  <si>
    <t>Current</t>
  </si>
  <si>
    <t>Employee</t>
  </si>
  <si>
    <t>Operations</t>
  </si>
  <si>
    <t>MED</t>
  </si>
  <si>
    <t>VIS</t>
  </si>
  <si>
    <t>DEN</t>
  </si>
  <si>
    <t>EE_DDUCT</t>
  </si>
  <si>
    <t>1234567890</t>
  </si>
  <si>
    <t>0||||||</t>
  </si>
  <si>
    <t>100||||||</t>
  </si>
  <si>
    <t>2||||||</t>
  </si>
  <si>
    <t>5||||||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</si>
</sst>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_);[Red]\(&quot;$&quot;#,##0.00\)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164" fontId="0" fillId="0" borderId="0" xfId="0" applyNumberFormat="1"/>
    <xf numFmtId="49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5"/>
  <sheetViews>
    <sheetView topLeftCell="K1" zoomScaleNormal="100" workbookViewId="0">
      <selection activeCell="A2" sqref="A2"/>
    </sheetView>
  </sheetViews>
  <sheetFormatPr baseColWidth="10" defaultRowHeight="16" x14ac:dyDescent="0.2"/>
  <cols>
    <col min="28" max="28" width="27.5" customWidth="1"/>
    <col min="42" max="42" width="17.6640625" bestFit="1" customWidth="1"/>
    <col min="44" max="44" width="10.83203125" customWidth="1"/>
  </cols>
  <sheetData>
    <row r="1" spans="1:4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</row>
    <row r="2" spans="1:44" x14ac:dyDescent="0.2">
      <c r="A2" t="s">
        <v>44</v>
      </c>
      <c r="B2" t="s">
        <v>45</v>
      </c>
      <c r="D2" t="s">
        <v>46</v>
      </c>
      <c r="G2" t="s">
        <v>47</v>
      </c>
      <c r="H2" t="s">
        <v>48</v>
      </c>
      <c r="I2" t="s">
        <v>49</v>
      </c>
      <c r="J2" s="1">
        <v>33906</v>
      </c>
      <c r="K2">
        <v>27</v>
      </c>
      <c r="T2" t="s">
        <v>50</v>
      </c>
      <c r="U2" t="s">
        <v>51</v>
      </c>
      <c r="Z2" t="s">
        <v>52</v>
      </c>
      <c r="AC2" t="s">
        <v>53</v>
      </c>
      <c r="AD2" t="s">
        <v>54</v>
      </c>
      <c r="AG2" t="s">
        <v>55</v>
      </c>
      <c r="AH2" t="s">
        <v>56</v>
      </c>
      <c r="AI2" t="s">
        <v>57</v>
      </c>
      <c r="AJ2" t="s">
        <v>58</v>
      </c>
      <c r="AK2" s="2">
        <v>0</v>
      </c>
      <c r="AL2" s="2">
        <v>0</v>
      </c>
      <c r="AP2" s="1">
        <v>43831</v>
      </c>
      <c r="AQ2" t="s">
        <v>59</v>
      </c>
    </row>
    <row r="3" spans="1:44" x14ac:dyDescent="0.2">
      <c r="A3" t="s">
        <v>44</v>
      </c>
      <c r="B3" t="s">
        <v>45</v>
      </c>
      <c r="D3" t="s">
        <v>46</v>
      </c>
      <c r="G3" t="s">
        <v>47</v>
      </c>
      <c r="H3" t="s">
        <v>48</v>
      </c>
      <c r="I3" t="s">
        <v>49</v>
      </c>
      <c r="J3" s="1">
        <v>33907</v>
      </c>
      <c r="K3">
        <v>27</v>
      </c>
      <c r="T3" t="s">
        <v>50</v>
      </c>
      <c r="U3" t="s">
        <v>51</v>
      </c>
      <c r="Z3" t="s">
        <v>52</v>
      </c>
      <c r="AC3" t="s">
        <v>53</v>
      </c>
      <c r="AD3" t="s">
        <v>54</v>
      </c>
      <c r="AG3" t="s">
        <v>60</v>
      </c>
      <c r="AH3" t="s">
        <v>56</v>
      </c>
      <c r="AI3" t="s">
        <v>57</v>
      </c>
      <c r="AJ3" t="s">
        <v>58</v>
      </c>
      <c r="AK3" s="2">
        <v>100</v>
      </c>
      <c r="AL3" s="2">
        <v>0</v>
      </c>
      <c r="AP3" s="1">
        <v>43832</v>
      </c>
      <c r="AQ3" t="s">
        <v>59</v>
      </c>
    </row>
    <row r="4" spans="1:44" x14ac:dyDescent="0.2">
      <c r="A4" t="s">
        <v>44</v>
      </c>
      <c r="B4" t="s">
        <v>45</v>
      </c>
      <c r="D4" t="s">
        <v>46</v>
      </c>
      <c r="G4" t="s">
        <v>47</v>
      </c>
      <c r="H4" t="s">
        <v>48</v>
      </c>
      <c r="I4" t="s">
        <v>49</v>
      </c>
      <c r="J4" s="1">
        <v>33908</v>
      </c>
      <c r="K4">
        <v>27</v>
      </c>
      <c r="T4" t="s">
        <v>50</v>
      </c>
      <c r="U4" t="s">
        <v>51</v>
      </c>
      <c r="Z4" t="s">
        <v>52</v>
      </c>
      <c r="AC4" t="s">
        <v>53</v>
      </c>
      <c r="AD4" t="s">
        <v>54</v>
      </c>
      <c r="AG4" t="s">
        <v>61</v>
      </c>
      <c r="AH4" t="s">
        <v>56</v>
      </c>
      <c r="AI4" t="s">
        <v>57</v>
      </c>
      <c r="AJ4" t="s">
        <v>58</v>
      </c>
      <c r="AK4" s="2">
        <v>2</v>
      </c>
      <c r="AL4" s="2">
        <v>0</v>
      </c>
      <c r="AP4" s="1">
        <v>43833</v>
      </c>
      <c r="AQ4" t="s">
        <v>59</v>
      </c>
    </row>
    <row r="5" spans="1:44" x14ac:dyDescent="0.2">
      <c r="A5" t="s">
        <v>44</v>
      </c>
      <c r="B5" t="s">
        <v>45</v>
      </c>
      <c r="D5" t="s">
        <v>46</v>
      </c>
      <c r="G5" t="s">
        <v>47</v>
      </c>
      <c r="H5" t="s">
        <v>48</v>
      </c>
      <c r="I5" t="s">
        <v>49</v>
      </c>
      <c r="J5" s="1">
        <v>33909</v>
      </c>
      <c r="K5">
        <v>27</v>
      </c>
      <c r="T5" t="s">
        <v>50</v>
      </c>
      <c r="U5" t="s">
        <v>51</v>
      </c>
      <c r="Z5" t="s">
        <v>52</v>
      </c>
      <c r="AC5" t="s">
        <v>53</v>
      </c>
      <c r="AD5" t="s">
        <v>54</v>
      </c>
      <c r="AG5" t="s">
        <v>62</v>
      </c>
      <c r="AH5" t="s">
        <v>56</v>
      </c>
      <c r="AI5" t="s">
        <v>57</v>
      </c>
      <c r="AJ5" t="s">
        <v>58</v>
      </c>
      <c r="AK5" s="2">
        <v>5</v>
      </c>
      <c r="AL5" s="2">
        <v>0</v>
      </c>
      <c r="AP5" s="1">
        <v>43834</v>
      </c>
      <c r="AQ5" t="s">
        <v>59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4"/>
  <sheetViews>
    <sheetView workbookViewId="0">
      <selection activeCell="D2" sqref="D2"/>
    </sheetView>
  </sheetViews>
  <sheetFormatPr baseColWidth="10" defaultRowHeight="16" x14ac:dyDescent="0.2"/>
  <cols>
    <col min="1" max="1" width="20.5" style="3" bestFit="1" customWidth="1"/>
    <col min="2" max="2" width="13.6640625" customWidth="1"/>
    <col min="3" max="3" width="10.33203125" customWidth="1"/>
    <col min="4" max="4" width="16.1640625" style="3" customWidth="1"/>
  </cols>
  <sheetData>
    <row r="1" spans="1:4" x14ac:dyDescent="0.2">
      <c r="A1" s="3" t="s">
        <v>64</v>
      </c>
      <c r="B1" t="s">
        <v>63</v>
      </c>
      <c r="C1" t="s">
        <v>55</v>
      </c>
      <c r="D1" s="3" t="s">
        <v>65</v>
      </c>
    </row>
    <row r="2" spans="1:4" x14ac:dyDescent="0.2">
      <c r="A2" s="3" t="s">
        <v>64</v>
      </c>
      <c r="B2" t="s">
        <v>63</v>
      </c>
      <c r="C2" t="s">
        <v>60</v>
      </c>
      <c r="D2" s="3" t="s">
        <v>66</v>
      </c>
    </row>
    <row r="3" spans="1:4" x14ac:dyDescent="0.2">
      <c r="A3" s="3" t="s">
        <v>64</v>
      </c>
      <c r="B3" t="s">
        <v>63</v>
      </c>
      <c r="C3" t="s">
        <v>61</v>
      </c>
      <c r="D3" s="3" t="s">
        <v>67</v>
      </c>
    </row>
    <row r="4" spans="1:4" x14ac:dyDescent="0.2">
      <c r="A4" s="3" t="s">
        <v>64</v>
      </c>
      <c r="B4" t="s">
        <v>63</v>
      </c>
      <c r="C4" t="s">
        <v>62</v>
      </c>
      <c r="D4" s="3" t="s">
        <v>68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EEAB9-39B3-7549-8D79-2B16D136F0A1}">
  <sheetPr codeName="Sheet2"/>
  <dimension ref="A1:AR5"/>
  <sheetViews>
    <sheetView topLeftCell="AD1" workbookViewId="0">
      <selection activeCell="AQ1" sqref="AQ1"/>
    </sheetView>
  </sheetViews>
  <sheetFormatPr baseColWidth="10" defaultRowHeight="16" x14ac:dyDescent="0.2"/>
  <cols>
    <col min="7" max="7" width="14.33203125" bestFit="1" customWidth="1"/>
    <col min="42" max="42" width="17.6640625" bestFit="1" customWidth="1"/>
    <col min="43" max="43" width="14.5" bestFit="1" customWidth="1"/>
  </cols>
  <sheetData>
    <row r="1" spans="1:4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</row>
    <row r="2" spans="1:44" x14ac:dyDescent="0.2">
      <c r="A2" t="s">
        <v>44</v>
      </c>
      <c r="B2" t="s">
        <v>45</v>
      </c>
      <c r="D2" t="s">
        <v>46</v>
      </c>
      <c r="G2" t="s">
        <v>47</v>
      </c>
      <c r="H2" t="s">
        <v>48</v>
      </c>
      <c r="I2" t="s">
        <v>49</v>
      </c>
      <c r="J2" s="1">
        <v>33906</v>
      </c>
      <c r="K2">
        <v>27</v>
      </c>
      <c r="T2" t="s">
        <v>50</v>
      </c>
      <c r="U2" t="s">
        <v>51</v>
      </c>
      <c r="Z2" t="s">
        <v>52</v>
      </c>
      <c r="AC2" t="s">
        <v>53</v>
      </c>
      <c r="AD2" t="s">
        <v>54</v>
      </c>
      <c r="AG2" t="s">
        <v>55</v>
      </c>
      <c r="AH2" t="s">
        <v>56</v>
      </c>
      <c r="AI2" t="s">
        <v>57</v>
      </c>
      <c r="AJ2" t="s">
        <v>58</v>
      </c>
      <c r="AK2" s="2">
        <v>0</v>
      </c>
      <c r="AL2" s="2">
        <v>0</v>
      </c>
      <c r="AP2" s="1">
        <v>43831</v>
      </c>
      <c r="AQ2" t="s">
        <v>59</v>
      </c>
    </row>
    <row r="3" spans="1:44" x14ac:dyDescent="0.2">
      <c r="A3" t="s">
        <v>44</v>
      </c>
      <c r="B3" t="s">
        <v>45</v>
      </c>
      <c r="D3" t="s">
        <v>46</v>
      </c>
      <c r="G3" t="s">
        <v>47</v>
      </c>
      <c r="H3" t="s">
        <v>48</v>
      </c>
      <c r="I3" t="s">
        <v>49</v>
      </c>
      <c r="J3" s="1">
        <v>33907</v>
      </c>
      <c r="K3">
        <v>27</v>
      </c>
      <c r="T3" t="s">
        <v>50</v>
      </c>
      <c r="U3" t="s">
        <v>51</v>
      </c>
      <c r="Z3" t="s">
        <v>52</v>
      </c>
      <c r="AC3" t="s">
        <v>53</v>
      </c>
      <c r="AD3" t="s">
        <v>54</v>
      </c>
      <c r="AG3" t="s">
        <v>60</v>
      </c>
      <c r="AH3" t="s">
        <v>56</v>
      </c>
      <c r="AI3" t="s">
        <v>57</v>
      </c>
      <c r="AJ3" t="s">
        <v>58</v>
      </c>
      <c r="AK3" s="2">
        <v>100</v>
      </c>
      <c r="AL3" s="2">
        <v>0</v>
      </c>
      <c r="AP3" s="1">
        <v>43832</v>
      </c>
      <c r="AQ3" t="s">
        <v>59</v>
      </c>
    </row>
    <row r="4" spans="1:44" x14ac:dyDescent="0.2">
      <c r="A4" t="s">
        <v>44</v>
      </c>
      <c r="B4" t="s">
        <v>45</v>
      </c>
      <c r="D4" t="s">
        <v>46</v>
      </c>
      <c r="G4" t="s">
        <v>47</v>
      </c>
      <c r="H4" t="s">
        <v>48</v>
      </c>
      <c r="I4" t="s">
        <v>49</v>
      </c>
      <c r="J4" s="1">
        <v>33908</v>
      </c>
      <c r="K4">
        <v>27</v>
      </c>
      <c r="T4" t="s">
        <v>50</v>
      </c>
      <c r="U4" t="s">
        <v>51</v>
      </c>
      <c r="Z4" t="s">
        <v>52</v>
      </c>
      <c r="AC4" t="s">
        <v>53</v>
      </c>
      <c r="AD4" t="s">
        <v>54</v>
      </c>
      <c r="AG4" t="s">
        <v>61</v>
      </c>
      <c r="AH4" t="s">
        <v>56</v>
      </c>
      <c r="AI4" t="s">
        <v>57</v>
      </c>
      <c r="AJ4" t="s">
        <v>58</v>
      </c>
      <c r="AK4" s="2">
        <v>2</v>
      </c>
      <c r="AL4" s="2">
        <v>0</v>
      </c>
      <c r="AP4" s="1">
        <v>43833</v>
      </c>
      <c r="AQ4" t="s">
        <v>59</v>
      </c>
    </row>
    <row r="5" spans="1:44" x14ac:dyDescent="0.2">
      <c r="A5" t="s">
        <v>44</v>
      </c>
      <c r="B5" t="s">
        <v>45</v>
      </c>
      <c r="D5" t="s">
        <v>46</v>
      </c>
      <c r="G5" t="s">
        <v>47</v>
      </c>
      <c r="H5" t="s">
        <v>48</v>
      </c>
      <c r="I5" t="s">
        <v>49</v>
      </c>
      <c r="J5" s="1">
        <v>33909</v>
      </c>
      <c r="K5">
        <v>27</v>
      </c>
      <c r="T5" t="s">
        <v>50</v>
      </c>
      <c r="U5" t="s">
        <v>51</v>
      </c>
      <c r="Z5" t="s">
        <v>52</v>
      </c>
      <c r="AC5" t="s">
        <v>53</v>
      </c>
      <c r="AD5" t="s">
        <v>54</v>
      </c>
      <c r="AG5" t="s">
        <v>62</v>
      </c>
      <c r="AH5" t="s">
        <v>56</v>
      </c>
      <c r="AI5" t="s">
        <v>57</v>
      </c>
      <c r="AJ5" t="s">
        <v>58</v>
      </c>
      <c r="AK5" s="2">
        <v>5</v>
      </c>
      <c r="AL5" s="2">
        <v>0</v>
      </c>
      <c r="AP5" s="1">
        <v>43834</v>
      </c>
      <c r="AQ5" t="s">
        <v>59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2889D-D6CC-8849-A13F-EEA5BAA538CD}">
  <sheetPr codeName="Sheet8"/>
  <dimension ref="A1:D4"/>
  <sheetViews>
    <sheetView tabSelected="1" workbookViewId="0">
      <selection activeCell="M22" sqref="M22"/>
    </sheetView>
  </sheetViews>
  <sheetFormatPr baseColWidth="10" defaultRowHeight="16" x14ac:dyDescent="0.2"/>
  <sheetData>
    <row r="1" spans="1:4" x14ac:dyDescent="0.2">
      <c r="A1" t="str">
        <f>SUBSTITUTE('Deduction Import Raw'!A2,"-","")</f>
        <v>1234567890</v>
      </c>
      <c r="B1" t="s">
        <v>63</v>
      </c>
      <c r="C1" t="str">
        <f>IF(LEN('Deduction Import Raw'!AG2&gt;=3),LEFT('Deduction Import Raw'!AG2,3),"N/A")</f>
        <v>EAP</v>
      </c>
      <c r="D1" t="str">
        <f>_xlfn.CONCAT('Deduction Import Raw'!AK2,"||||||")</f>
        <v>0||||||</v>
      </c>
    </row>
    <row r="2" spans="1:4" x14ac:dyDescent="0.2">
      <c r="A2" t="str">
        <f>SUBSTITUTE('Deduction Import Raw'!A3,"-","")</f>
        <v>1234567890</v>
      </c>
      <c r="B2" t="s">
        <v>63</v>
      </c>
      <c r="C2" t="str">
        <f>IF(LEN('Deduction Import Raw'!AG3&gt;=3),LEFT('Deduction Import Raw'!AG3,3),"N/A")</f>
        <v>MED</v>
      </c>
      <c r="D2" t="str">
        <f>_xlfn.CONCAT('Deduction Import Raw'!AK3,"||||||")</f>
        <v>100||||||</v>
      </c>
    </row>
    <row r="3" spans="1:4" x14ac:dyDescent="0.2">
      <c r="A3" t="str">
        <f>SUBSTITUTE('Deduction Import Raw'!A4,"-","")</f>
        <v>1234567890</v>
      </c>
      <c r="B3" t="s">
        <v>63</v>
      </c>
      <c r="C3" t="str">
        <f>IF(LEN('Deduction Import Raw'!AG4&gt;=3),LEFT('Deduction Import Raw'!AG4,3),"N/A")</f>
        <v>VIS</v>
      </c>
      <c r="D3" t="str">
        <f>_xlfn.CONCAT('Deduction Import Raw'!AK4,"||||||")</f>
        <v>2||||||</v>
      </c>
    </row>
    <row r="4" spans="1:4" x14ac:dyDescent="0.2">
      <c r="A4" t="str">
        <f>SUBSTITUTE('Deduction Import Raw'!A5,"-","")</f>
        <v>1234567890</v>
      </c>
      <c r="B4" t="s">
        <v>63</v>
      </c>
      <c r="C4" t="str">
        <f>IF(LEN('Deduction Import Raw'!AG5&gt;=3),LEFT('Deduction Import Raw'!AG5,3),"N/A")</f>
        <v>DEN</v>
      </c>
      <c r="D4" t="str">
        <f>_xlfn.CONCAT('Deduction Import Raw'!AK5,"||||||")</f>
        <v>5||||||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Deduction Import Raw</vt:lpstr>
      <vt:lpstr>output</vt:lpstr>
      <vt:lpstr>Deduction Import Raw (2)</vt:lpstr>
      <vt:lpstr>Sheet with macro "processed"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2020-11-12T14:46:52Z</dcterms:created>
  <dcterms:modified xsi:type="dcterms:W3CDTF">2020-11-12T14:46:52Z</dcterms:modified>
</cp:coreProperties>
</file>